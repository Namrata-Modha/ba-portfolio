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msm\Downloads\"/>
    </mc:Choice>
  </mc:AlternateContent>
  <xr:revisionPtr revIDLastSave="0" documentId="13_ncr:1_{CEC99E1C-80BE-44E9-9AB2-54AD52D9B479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Assumptions" sheetId="1" r:id="rId1"/>
    <sheet name="Current State" sheetId="2" r:id="rId2"/>
    <sheet name="Options Comparison" sheetId="3" r:id="rId3"/>
    <sheet name="Cost-Benefit Model" sheetId="4" r:id="rId4"/>
    <sheet name="Sensitivity Analysi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5" l="1"/>
  <c r="B16" i="5"/>
  <c r="B15" i="5"/>
  <c r="B14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E22" i="4"/>
  <c r="D22" i="4"/>
  <c r="C22" i="4"/>
  <c r="B22" i="4"/>
  <c r="F22" i="4" s="1"/>
  <c r="D21" i="4"/>
  <c r="C21" i="4"/>
  <c r="B21" i="4"/>
  <c r="E20" i="4"/>
  <c r="D20" i="4"/>
  <c r="C20" i="4"/>
  <c r="F20" i="4" s="1"/>
  <c r="B20" i="4"/>
  <c r="E19" i="4"/>
  <c r="D19" i="4"/>
  <c r="D23" i="4" s="1"/>
  <c r="C19" i="4"/>
  <c r="C23" i="4" s="1"/>
  <c r="B19" i="4"/>
  <c r="B23" i="4" s="1"/>
  <c r="B25" i="4" s="1"/>
  <c r="B26" i="4" s="1"/>
  <c r="E15" i="4"/>
  <c r="D15" i="4"/>
  <c r="D16" i="4" s="1"/>
  <c r="C15" i="4"/>
  <c r="B15" i="4"/>
  <c r="F15" i="4" s="1"/>
  <c r="E14" i="4"/>
  <c r="E16" i="4" s="1"/>
  <c r="D14" i="4"/>
  <c r="C14" i="4"/>
  <c r="C16" i="4" s="1"/>
  <c r="B14" i="4"/>
  <c r="E13" i="4"/>
  <c r="D13" i="4"/>
  <c r="C13" i="4"/>
  <c r="B13" i="4"/>
  <c r="B16" i="4" s="1"/>
  <c r="E9" i="4"/>
  <c r="E10" i="4" s="1"/>
  <c r="D9" i="4"/>
  <c r="C9" i="4"/>
  <c r="C10" i="4" s="1"/>
  <c r="B9" i="4"/>
  <c r="B10" i="4" s="1"/>
  <c r="E8" i="4"/>
  <c r="D8" i="4"/>
  <c r="C8" i="4"/>
  <c r="B8" i="4"/>
  <c r="F8" i="4" s="1"/>
  <c r="E7" i="4"/>
  <c r="D7" i="4"/>
  <c r="D10" i="4" s="1"/>
  <c r="C7" i="4"/>
  <c r="B7" i="4"/>
  <c r="F7" i="4" s="1"/>
  <c r="D10" i="3"/>
  <c r="C10" i="3"/>
  <c r="B11" i="3" s="1"/>
  <c r="B10" i="3"/>
  <c r="D9" i="3"/>
  <c r="C9" i="3"/>
  <c r="B9" i="3"/>
  <c r="D8" i="3"/>
  <c r="C8" i="3"/>
  <c r="B8" i="3"/>
  <c r="D7" i="3"/>
  <c r="C7" i="3"/>
  <c r="B7" i="3"/>
  <c r="D6" i="3"/>
  <c r="D11" i="3" s="1"/>
  <c r="C6" i="3"/>
  <c r="B6" i="3"/>
  <c r="D5" i="3"/>
  <c r="C5" i="3"/>
  <c r="B5" i="3"/>
  <c r="C11" i="3" s="1"/>
  <c r="C8" i="2"/>
  <c r="B8" i="2"/>
  <c r="C7" i="2"/>
  <c r="C9" i="2" s="1"/>
  <c r="B7" i="2"/>
  <c r="C6" i="2"/>
  <c r="B6" i="2"/>
  <c r="C5" i="2"/>
  <c r="B5" i="2"/>
  <c r="C6" i="1"/>
  <c r="E21" i="4" s="1"/>
  <c r="E23" i="4" l="1"/>
  <c r="E25" i="4" s="1"/>
  <c r="C25" i="4"/>
  <c r="C29" i="4"/>
  <c r="D25" i="4"/>
  <c r="C33" i="4" s="1"/>
  <c r="C31" i="4"/>
  <c r="F21" i="4"/>
  <c r="C14" i="5"/>
  <c r="D14" i="5" s="1"/>
  <c r="F19" i="4"/>
  <c r="F23" i="4" s="1"/>
  <c r="F14" i="4"/>
  <c r="F9" i="4"/>
  <c r="F10" i="4" s="1"/>
  <c r="F13" i="4"/>
  <c r="F16" i="4" s="1"/>
  <c r="C15" i="5"/>
  <c r="D15" i="5" s="1"/>
  <c r="C16" i="5"/>
  <c r="D16" i="5" s="1"/>
  <c r="C17" i="5"/>
  <c r="D17" i="5" s="1"/>
  <c r="F25" i="4" l="1"/>
  <c r="C32" i="4"/>
  <c r="C30" i="4"/>
  <c r="C34" i="4"/>
  <c r="C26" i="4"/>
  <c r="D26" i="4" s="1"/>
  <c r="E26" i="4" s="1"/>
  <c r="F26" i="4" s="1"/>
</calcChain>
</file>

<file path=xl/sharedStrings.xml><?xml version="1.0" encoding="utf-8"?>
<sst xmlns="http://schemas.openxmlformats.org/spreadsheetml/2006/main" count="219" uniqueCount="189">
  <si>
    <t>KYC Business Case | Model Assumptions</t>
  </si>
  <si>
    <t>Blue cells = inputs you can change to run scenarios.  Black = formulas.  Green = cross-sheet links.</t>
  </si>
  <si>
    <t>Category</t>
  </si>
  <si>
    <t>Parameter</t>
  </si>
  <si>
    <t>Value</t>
  </si>
  <si>
    <t>Unit</t>
  </si>
  <si>
    <t>Source / Note</t>
  </si>
  <si>
    <t>Volume</t>
  </si>
  <si>
    <t>Annual new customer onboardings completed</t>
  </si>
  <si>
    <t>customers/yr</t>
  </si>
  <si>
    <t>Internal estimate</t>
  </si>
  <si>
    <t>Account applications started (derived)</t>
  </si>
  <si>
    <t>applications</t>
  </si>
  <si>
    <t>Formula: completed / (1 - abandonment rate)</t>
  </si>
  <si>
    <t>Costs</t>
  </si>
  <si>
    <t>Current manual KYC cost per verification</t>
  </si>
  <si>
    <t>CAD $/customer</t>
  </si>
  <si>
    <t>Industry est. (KYC2020; range $25-50, mid-point)</t>
  </si>
  <si>
    <t>AI platform cost per verification</t>
  </si>
  <si>
    <t>Industry est. (SaaS vendors; range $5-10, mid-point)</t>
  </si>
  <si>
    <t>Cost per false positive investigation</t>
  </si>
  <si>
    <t>CAD $/alert</t>
  </si>
  <si>
    <t>Internal est. (25 min analyst time @ CAD $60/hr loaded)</t>
  </si>
  <si>
    <t>Compliance</t>
  </si>
  <si>
    <t>Current AML false positive rate</t>
  </si>
  <si>
    <t>% of alerts</t>
  </si>
  <si>
    <t>KYC2020 research; published range 42-95%</t>
  </si>
  <si>
    <t>AI false positive rate reduction</t>
  </si>
  <si>
    <t>% reduction</t>
  </si>
  <si>
    <t>Published vendor benchmarks; range 50-66%</t>
  </si>
  <si>
    <t>Customer</t>
  </si>
  <si>
    <t>Current account abandonment rate</t>
  </si>
  <si>
    <t>% of starts</t>
  </si>
  <si>
    <t>DocuSign / CBA Canadian banking research</t>
  </si>
  <si>
    <t>AI-assisted abandonment rate (target)</t>
  </si>
  <si>
    <t>Conservative estimate; some vendors achieve &lt;20%</t>
  </si>
  <si>
    <t>Revenue capture rate (of additional completions)</t>
  </si>
  <si>
    <t>% captured</t>
  </si>
  <si>
    <t>Conservative; accounts for customers acquired elsewhere</t>
  </si>
  <si>
    <t>Avg first-year net revenue per new account</t>
  </si>
  <si>
    <t>CAD $/account</t>
  </si>
  <si>
    <t>Conservative internal estimate; excl. lifetime value</t>
  </si>
  <si>
    <t>Platform Costs</t>
  </si>
  <si>
    <t>Platform licensing (annual SaaS)</t>
  </si>
  <si>
    <t>CAD $/yr</t>
  </si>
  <si>
    <t>SaaS estimate based on Onfido / Trulioo published ranges</t>
  </si>
  <si>
    <t>Integration and implementation (one-time)</t>
  </si>
  <si>
    <t>CAD $</t>
  </si>
  <si>
    <t>Technology estimate; API integration + build</t>
  </si>
  <si>
    <t>Change management and training (one-time)</t>
  </si>
  <si>
    <t>HR / Change Management estimate</t>
  </si>
  <si>
    <t>Data migration, UAT, go-live support (one-time)</t>
  </si>
  <si>
    <t>Technology estimate</t>
  </si>
  <si>
    <t>Ongoing maintenance and support (annual)</t>
  </si>
  <si>
    <t>Vendor support contract estimate</t>
  </si>
  <si>
    <t>Financial</t>
  </si>
  <si>
    <t>Discount rate (NPV calculation)</t>
  </si>
  <si>
    <t>%</t>
  </si>
  <si>
    <t>Internal hurdle rate</t>
  </si>
  <si>
    <t>Regulatory penalty risk probability (annual)</t>
  </si>
  <si>
    <t>% probability</t>
  </si>
  <si>
    <t>Risk committee estimate; subjective</t>
  </si>
  <si>
    <t>Average FINTRAC penalty amount</t>
  </si>
  <si>
    <t>FINTRAC/PCMLTFA guidance; statutory max CAD $20M per offense</t>
  </si>
  <si>
    <t>Process Opt.</t>
  </si>
  <si>
    <t>Process optimization one-time cost</t>
  </si>
  <si>
    <t>Estimate; process redesign + training + basic portal</t>
  </si>
  <si>
    <t>Process optimization efficiency gain</t>
  </si>
  <si>
    <t>% cost reduction</t>
  </si>
  <si>
    <t>Conservative estimate; addresses process only, not fraud</t>
  </si>
  <si>
    <t>COLOUR LEGEND</t>
  </si>
  <si>
    <t>Blue text = Hardcoded input (change to run scenarios)</t>
  </si>
  <si>
    <t>Black text = Formula (do not edit)</t>
  </si>
  <si>
    <t>Green text = Cross-sheet reference (do not edit)</t>
  </si>
  <si>
    <t>Current State | Annual Cost Analysis</t>
  </si>
  <si>
    <t>Quantifies the total cost of maintaining the existing manual KYC process at current volumes.</t>
  </si>
  <si>
    <t>Cost Category</t>
  </si>
  <si>
    <t>Calculation</t>
  </si>
  <si>
    <t>Annual Cost (CAD)</t>
  </si>
  <si>
    <t>Notes</t>
  </si>
  <si>
    <t>KYC Operational Cost</t>
  </si>
  <si>
    <t>Annual verifications x manual cost per check</t>
  </si>
  <si>
    <t>AML False Positive Investigation Cost</t>
  </si>
  <si>
    <t>Verifications x false positive rate x analyst cost per alert</t>
  </si>
  <si>
    <t>Lost Revenue from Account Abandonment</t>
  </si>
  <si>
    <t>Lost completions x capture rate x avg first-year revenue</t>
  </si>
  <si>
    <t>Risk-Adjusted Regulatory Penalty Exposure</t>
  </si>
  <si>
    <t>Annual probability of FINTRAC violation x avg penalty</t>
  </si>
  <si>
    <t>TOTAL QUANTIFIED ANNUAL COST</t>
  </si>
  <si>
    <t>Excl. unquantified competitive revenue loss</t>
  </si>
  <si>
    <t>Key Observations</t>
  </si>
  <si>
    <t>False positive rate of 60% means most analyst screening time is wasted on non-suspicious activity.</t>
  </si>
  <si>
    <t>50% account abandonment represents 150,000 lost applicants annually who started but did not complete onboarding.</t>
  </si>
  <si>
    <t>Regulatory exposure is not a fixed cost but a probabilistic risk that grows with each FINTRAC audit cycle.</t>
  </si>
  <si>
    <t>Total direct operational cost (rows 5-6) = CAD $6.75M/yr before risk adjustment and revenue loss.</t>
  </si>
  <si>
    <t>Options Comparison | Status Quo vs Process Optimization vs AI-Assisted KYC Platform</t>
  </si>
  <si>
    <t>All financial values in CAD. Figures derived from Assumptions sheet.</t>
  </si>
  <si>
    <t>Metric</t>
  </si>
  <si>
    <t>Option A: Status Quo</t>
  </si>
  <si>
    <t>Option B: Process Optimization</t>
  </si>
  <si>
    <t>Option C: AI-Assisted KYC Platform (Recommended)</t>
  </si>
  <si>
    <t>One-Time Investment</t>
  </si>
  <si>
    <t>Platform: integration + change mgmt + UAT</t>
  </si>
  <si>
    <t>Annual Platform / Licensing Cost</t>
  </si>
  <si>
    <t>SaaS licensing + maintenance</t>
  </si>
  <si>
    <t>Annual KYC Operational Cost</t>
  </si>
  <si>
    <t>AI: per-verification cost drops to CAD $7</t>
  </si>
  <si>
    <t>Annual False Positive Cost</t>
  </si>
  <si>
    <t>AI reduces false positive rate by 55%</t>
  </si>
  <si>
    <t>Annual Revenue Recovery</t>
  </si>
  <si>
    <t>Additional completions from lower abandonment rate</t>
  </si>
  <si>
    <t>Risk-Adj. Regulatory Penalty</t>
  </si>
  <si>
    <t>AI: 90% reduction in regulatory exposure</t>
  </si>
  <si>
    <t>Annual Net Cost (Costs minus Benefits)</t>
  </si>
  <si>
    <t>Lower = better</t>
  </si>
  <si>
    <t>VERDICT</t>
  </si>
  <si>
    <t>Not viable. Regulatory non-compliance is unacceptable.</t>
  </si>
  <si>
    <t>Insufficient. Defers full solution at additional cost.</t>
  </si>
  <si>
    <t>RECOMMENDED. Only option satisfying all three dimensions.</t>
  </si>
  <si>
    <t>Cost-Benefit Model | AI-Assisted KYC Platform | 3-Year Projection</t>
  </si>
  <si>
    <t>Year 0 = implementation period. Year 1-3 = operating years. All values CAD.</t>
  </si>
  <si>
    <t>Item</t>
  </si>
  <si>
    <t>Year 0
(Implementation)</t>
  </si>
  <si>
    <t>Year 1</t>
  </si>
  <si>
    <t>Year 2</t>
  </si>
  <si>
    <t>Year 3</t>
  </si>
  <si>
    <t>3-Year Total</t>
  </si>
  <si>
    <t>ONE-TIME INVESTMENT COSTS</t>
  </si>
  <si>
    <t xml:space="preserve">  Platform integration and implementation</t>
  </si>
  <si>
    <t>One-time; Year 0 only</t>
  </si>
  <si>
    <t xml:space="preserve">  Change management and training</t>
  </si>
  <si>
    <t xml:space="preserve">  Data migration, UAT, go-live support</t>
  </si>
  <si>
    <t xml:space="preserve">  Total One-Time Investment</t>
  </si>
  <si>
    <t>ANNUAL OPERATING COSTS</t>
  </si>
  <si>
    <t xml:space="preserve">  Platform licensing (annual SaaS)</t>
  </si>
  <si>
    <t>SaaS; begins Year 1</t>
  </si>
  <si>
    <t xml:space="preserve">  Ongoing maintenance and support</t>
  </si>
  <si>
    <t>Annual vendor support</t>
  </si>
  <si>
    <t xml:space="preserve">  AI platform cost per verification (net)</t>
  </si>
  <si>
    <t>150K verifications x CAD $7</t>
  </si>
  <si>
    <t xml:space="preserve">  Total Annual Operating Costs</t>
  </si>
  <si>
    <t>ANNUAL BENEFITS (SAVINGS + REVENUE)</t>
  </si>
  <si>
    <t xml:space="preserve">  KYC operational cost savings vs manual</t>
  </si>
  <si>
    <t>CAD $30 - $7 = $23 saved per verification</t>
  </si>
  <si>
    <t xml:space="preserve">  False positive reduction savings</t>
  </si>
  <si>
    <t>55% fewer alerts x $25 analyst cost each</t>
  </si>
  <si>
    <t xml:space="preserve">  Revenue recovery from reduced abandonment</t>
  </si>
  <si>
    <t>Additional completions x capture rate x avg revenue</t>
  </si>
  <si>
    <t xml:space="preserve">  Risk-adjusted regulatory penalty avoidance</t>
  </si>
  <si>
    <t>5% annual probability x CAD $15M avg penalty</t>
  </si>
  <si>
    <t xml:space="preserve">  Total Annual Benefits</t>
  </si>
  <si>
    <t>NET CASH FLOW (Benefits + Costs)</t>
  </si>
  <si>
    <t>Positive = net benefit in that year</t>
  </si>
  <si>
    <t>CUMULATIVE CASH FLOW</t>
  </si>
  <si>
    <t>Turns positive = payback achieved</t>
  </si>
  <si>
    <t>RETURN ON INVESTMENT SUMMARY</t>
  </si>
  <si>
    <t>Total Year 0 Investment</t>
  </si>
  <si>
    <t>One-time implementation costs</t>
  </si>
  <si>
    <t>Year 1 Net Cash Flow</t>
  </si>
  <si>
    <t>Benefits minus all Year 1 costs</t>
  </si>
  <si>
    <t>Annual Net Cash Flow (Year 2+)</t>
  </si>
  <si>
    <t>Recurring annual net benefit</t>
  </si>
  <si>
    <t>3-Year NPV (discount rate from Assumptions)</t>
  </si>
  <si>
    <t>Net present value; Year 0-3</t>
  </si>
  <si>
    <t>Approx. Payback Period (months)</t>
  </si>
  <si>
    <t>Months to recover Year 0 investment</t>
  </si>
  <si>
    <t>3-Year ROI</t>
  </si>
  <si>
    <t>Net return over total investment</t>
  </si>
  <si>
    <t>Sensitivity Analysis | Key Variable Scenarios</t>
  </si>
  <si>
    <t>Shows Year 1 Net Benefit and 3-Year NPV under different assumptions. Change Assumptions sheet inputs to see full model impact.</t>
  </si>
  <si>
    <t>Table A: Annual Volume Sensitivity (New Customer Onboardings)</t>
  </si>
  <si>
    <t>Scenario</t>
  </si>
  <si>
    <t>Annual Volume</t>
  </si>
  <si>
    <t>Annual Benefit (CAD)</t>
  </si>
  <si>
    <t>Annual Net (after platform costs)</t>
  </si>
  <si>
    <t>Low Volume (-30%)</t>
  </si>
  <si>
    <t>Conservative (-15%)</t>
  </si>
  <si>
    <t>Base Case</t>
  </si>
  <si>
    <t>Base case</t>
  </si>
  <si>
    <t>Optimistic (+15%)</t>
  </si>
  <si>
    <t>High Growth (+30%)</t>
  </si>
  <si>
    <t>Table B: Platform Cost Sensitivity (Annual Licensing)</t>
  </si>
  <si>
    <t>Annual Platform Cost (CAD)</t>
  </si>
  <si>
    <t>Year 1 Net Benefit</t>
  </si>
  <si>
    <t>Payback Period (months)</t>
  </si>
  <si>
    <t>Below Estimate (-20%)</t>
  </si>
  <si>
    <t>Above Estimate (+20%)</t>
  </si>
  <si>
    <t>Above Estimate (+40%)</t>
  </si>
  <si>
    <t>Key Insight: Even in the high-cost, low-volume scenario, the AI-Assisted KYC Platform remains cash-positive in Year 1 due to the magnitude of operational savings from eliminating manual verification and false positive investigation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</si>
</sst>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CAD $&quot;#,##0"/>
    <numFmt numFmtId="165" formatCode="0.0%"/>
    <numFmt numFmtId="166" formatCode="&quot;CAD $&quot;#,##0;&quot;(CAD $&quot;#,##0\);\-"/>
    <numFmt numFmtId="167" formatCode="&quot;0.0 &quot;m&quot;ont&quot;hs&quot;&quot;;@"/>
    <numFmt numFmtId="168" formatCode="0.0\m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i/>
      <sz val="9"/>
      <color rgb="FF0000FF"/>
      <name val="Arial"/>
      <charset val="1"/>
    </font>
    <font>
      <i/>
      <sz val="9"/>
      <color rgb="FF000000"/>
      <name val="Arial"/>
      <charset val="1"/>
    </font>
    <font>
      <i/>
      <sz val="9"/>
      <color rgb="FF007A3D"/>
      <name val="Arial"/>
      <charset val="1"/>
    </font>
    <font>
      <sz val="10"/>
      <color rgb="FF007A3D"/>
      <name val="Arial"/>
      <charset val="1"/>
    </font>
    <font>
      <i/>
      <sz val="9"/>
      <color rgb="FF1A1A1A"/>
      <name val="Arial"/>
      <charset val="1"/>
    </font>
    <font>
      <b/>
      <sz val="10"/>
      <color rgb="FF0D1B2A"/>
      <name val="Arial"/>
      <charset val="1"/>
    </font>
    <font>
      <b/>
      <sz val="10"/>
      <color rgb="FF000000"/>
      <name val="Arial"/>
      <charset val="1"/>
    </font>
    <font>
      <b/>
      <sz val="9"/>
      <color rgb="FF1A1A1A"/>
      <name val="Arial"/>
      <charset val="1"/>
    </font>
    <font>
      <b/>
      <sz val="11"/>
      <color rgb="FF007A3D"/>
      <name val="Arial"/>
      <charset val="1"/>
    </font>
    <font>
      <b/>
      <i/>
      <sz val="9"/>
      <color rgb="FF1A1A1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E6FA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8B0000"/>
        <bgColor rgb="FF800000"/>
      </patternFill>
    </fill>
    <fill>
      <patternFill patternType="solid">
        <fgColor rgb="FFB8860B"/>
        <bgColor rgb="FFFF9900"/>
      </patternFill>
    </fill>
    <fill>
      <patternFill patternType="solid">
        <fgColor rgb="FF1A6B3A"/>
        <bgColor rgb="FF007A3D"/>
      </patternFill>
    </fill>
    <fill>
      <patternFill patternType="solid">
        <fgColor rgb="FF3DD68C"/>
        <bgColor rgb="FF339966"/>
      </patternFill>
    </fill>
    <fill>
      <patternFill patternType="solid">
        <fgColor rgb="FFF5F5F5"/>
        <bgColor rgb="FFE6FA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8" fillId="3" borderId="2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6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12" fillId="4" borderId="1" xfId="0" applyNumberFormat="1" applyFont="1" applyFill="1" applyBorder="1" applyAlignment="1">
      <alignment horizontal="right" vertical="center"/>
    </xf>
    <xf numFmtId="166" fontId="12" fillId="4" borderId="1" xfId="0" applyNumberFormat="1" applyFont="1" applyFill="1" applyBorder="1" applyAlignment="1">
      <alignment horizontal="right" vertical="center"/>
    </xf>
    <xf numFmtId="164" fontId="12" fillId="3" borderId="1" xfId="0" applyNumberFormat="1" applyFont="1" applyFill="1" applyBorder="1" applyAlignment="1">
      <alignment horizontal="right" vertical="center"/>
    </xf>
    <xf numFmtId="166" fontId="12" fillId="3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8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/>
    </xf>
    <xf numFmtId="166" fontId="15" fillId="9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6" fontId="15" fillId="3" borderId="1" xfId="0" applyNumberFormat="1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left" vertical="center"/>
    </xf>
    <xf numFmtId="0" fontId="0" fillId="4" borderId="1" xfId="0" applyFill="1" applyBorder="1"/>
    <xf numFmtId="166" fontId="17" fillId="4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166" fontId="17" fillId="3" borderId="1" xfId="0" applyNumberFormat="1" applyFont="1" applyFill="1" applyBorder="1" applyAlignment="1">
      <alignment horizontal="right" vertical="center"/>
    </xf>
    <xf numFmtId="167" fontId="17" fillId="4" borderId="1" xfId="0" applyNumberFormat="1" applyFont="1" applyFill="1" applyBorder="1" applyAlignment="1">
      <alignment horizontal="right" vertical="center"/>
    </xf>
    <xf numFmtId="165" fontId="17" fillId="3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3" fontId="7" fillId="4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 wrapText="1"/>
    </xf>
    <xf numFmtId="3" fontId="14" fillId="8" borderId="1" xfId="0" applyNumberFormat="1" applyFont="1" applyFill="1" applyBorder="1" applyAlignment="1">
      <alignment horizontal="right" vertical="center"/>
    </xf>
    <xf numFmtId="166" fontId="14" fillId="8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168" fontId="7" fillId="4" borderId="1" xfId="0" applyNumberFormat="1" applyFont="1" applyFill="1" applyBorder="1" applyAlignment="1">
      <alignment horizontal="right" vertical="center"/>
    </xf>
    <xf numFmtId="168" fontId="14" fillId="8" borderId="1" xfId="0" applyNumberFormat="1" applyFont="1" applyFill="1" applyBorder="1" applyAlignment="1">
      <alignment horizontal="right" vertical="center"/>
    </xf>
    <xf numFmtId="168" fontId="7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A3D"/>
      <rgbColor rgb="FF000080"/>
      <rgbColor rgb="FFB8860B"/>
      <rgbColor rgb="FF800080"/>
      <rgbColor rgb="FF1A6B3A"/>
      <rgbColor rgb="FFCCCCCC"/>
      <rgbColor rgb="FF808080"/>
      <rgbColor rgb="FF9999FF"/>
      <rgbColor rgb="FF993366"/>
      <rgbColor rgb="FFF5F5F5"/>
      <rgbColor rgb="FFE6FA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DD68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showGridLines="0" zoomScaleNormal="100" workbookViewId="0">
      <pane ySplit="4" topLeftCell="A5" activePane="bottomLeft" state="frozen"/>
      <selection pane="bottomLeft" activeCell="D16" sqref="D16"/>
    </sheetView>
  </sheetViews>
  <sheetFormatPr defaultColWidth="8.6640625" defaultRowHeight="14.4" x14ac:dyDescent="0.3"/>
  <cols>
    <col min="1" max="1" width="54" customWidth="1"/>
    <col min="2" max="2" width="40.88671875" bestFit="1" customWidth="1"/>
    <col min="3" max="3" width="15.6640625" bestFit="1" customWidth="1"/>
    <col min="4" max="4" width="14.77734375" bestFit="1" customWidth="1"/>
    <col min="5" max="5" width="57.77734375" bestFit="1" customWidth="1"/>
  </cols>
  <sheetData>
    <row r="1" spans="1:5" ht="27.75" customHeight="1" x14ac:dyDescent="0.3">
      <c r="A1" s="8" t="s">
        <v>0</v>
      </c>
      <c r="B1" s="8"/>
      <c r="C1" s="8"/>
      <c r="D1" s="8"/>
      <c r="E1" s="8"/>
    </row>
    <row r="2" spans="1:5" ht="18" customHeight="1" x14ac:dyDescent="0.3">
      <c r="A2" s="7" t="s">
        <v>1</v>
      </c>
      <c r="B2" s="7"/>
      <c r="C2" s="7"/>
      <c r="D2" s="7"/>
      <c r="E2" s="7"/>
    </row>
    <row r="3" spans="1:5" ht="6" customHeight="1" x14ac:dyDescent="0.3"/>
    <row r="4" spans="1:5" ht="21.75" customHeight="1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</row>
    <row r="5" spans="1:5" ht="18" customHeight="1" x14ac:dyDescent="0.3">
      <c r="A5" s="10" t="s">
        <v>7</v>
      </c>
      <c r="B5" s="11" t="s">
        <v>8</v>
      </c>
      <c r="C5" s="12">
        <v>150000</v>
      </c>
      <c r="D5" s="11" t="s">
        <v>9</v>
      </c>
      <c r="E5" s="11" t="s">
        <v>10</v>
      </c>
    </row>
    <row r="6" spans="1:5" ht="18" customHeight="1" x14ac:dyDescent="0.3">
      <c r="A6" s="10" t="s">
        <v>7</v>
      </c>
      <c r="B6" s="11" t="s">
        <v>11</v>
      </c>
      <c r="C6" s="13">
        <f>C5/(1-C15)</f>
        <v>-1006.7114093959732</v>
      </c>
      <c r="D6" s="11" t="s">
        <v>12</v>
      </c>
      <c r="E6" s="11" t="s">
        <v>13</v>
      </c>
    </row>
    <row r="7" spans="1:5" ht="18" customHeight="1" x14ac:dyDescent="0.3">
      <c r="A7" s="14" t="s">
        <v>14</v>
      </c>
      <c r="B7" s="15" t="s">
        <v>15</v>
      </c>
      <c r="C7" s="16">
        <v>30</v>
      </c>
      <c r="D7" s="15" t="s">
        <v>16</v>
      </c>
      <c r="E7" s="15" t="s">
        <v>17</v>
      </c>
    </row>
    <row r="8" spans="1:5" ht="18" customHeight="1" x14ac:dyDescent="0.3">
      <c r="A8" s="14" t="s">
        <v>14</v>
      </c>
      <c r="B8" s="15" t="s">
        <v>18</v>
      </c>
      <c r="C8" s="16">
        <v>7</v>
      </c>
      <c r="D8" s="15" t="s">
        <v>16</v>
      </c>
      <c r="E8" s="15" t="s">
        <v>19</v>
      </c>
    </row>
    <row r="9" spans="1:5" ht="18" customHeight="1" x14ac:dyDescent="0.3">
      <c r="A9" s="14" t="s">
        <v>14</v>
      </c>
      <c r="B9" s="15" t="s">
        <v>20</v>
      </c>
      <c r="C9" s="16">
        <v>25</v>
      </c>
      <c r="D9" s="15" t="s">
        <v>21</v>
      </c>
      <c r="E9" s="15" t="s">
        <v>22</v>
      </c>
    </row>
    <row r="10" spans="1:5" ht="18" customHeight="1" x14ac:dyDescent="0.3">
      <c r="A10" s="10" t="s">
        <v>23</v>
      </c>
      <c r="B10" s="11" t="s">
        <v>24</v>
      </c>
      <c r="C10" s="17">
        <v>0.6</v>
      </c>
      <c r="D10" s="11" t="s">
        <v>25</v>
      </c>
      <c r="E10" s="11" t="s">
        <v>26</v>
      </c>
    </row>
    <row r="11" spans="1:5" ht="18" customHeight="1" x14ac:dyDescent="0.3">
      <c r="A11" s="10" t="s">
        <v>23</v>
      </c>
      <c r="B11" s="11" t="s">
        <v>27</v>
      </c>
      <c r="C11" s="17">
        <v>0.55000000000000004</v>
      </c>
      <c r="D11" s="11" t="s">
        <v>28</v>
      </c>
      <c r="E11" s="11" t="s">
        <v>29</v>
      </c>
    </row>
    <row r="12" spans="1:5" ht="18" customHeight="1" x14ac:dyDescent="0.3">
      <c r="A12" s="14" t="s">
        <v>30</v>
      </c>
      <c r="B12" s="15" t="s">
        <v>31</v>
      </c>
      <c r="C12" s="18">
        <v>0.5</v>
      </c>
      <c r="D12" s="15" t="s">
        <v>32</v>
      </c>
      <c r="E12" s="15" t="s">
        <v>33</v>
      </c>
    </row>
    <row r="13" spans="1:5" ht="18" customHeight="1" x14ac:dyDescent="0.3">
      <c r="A13" s="14" t="s">
        <v>30</v>
      </c>
      <c r="B13" s="15" t="s">
        <v>34</v>
      </c>
      <c r="C13" s="18">
        <v>0.3</v>
      </c>
      <c r="D13" s="15" t="s">
        <v>32</v>
      </c>
      <c r="E13" s="15" t="s">
        <v>35</v>
      </c>
    </row>
    <row r="14" spans="1:5" ht="18" customHeight="1" x14ac:dyDescent="0.3">
      <c r="A14" s="14" t="s">
        <v>30</v>
      </c>
      <c r="B14" s="15" t="s">
        <v>36</v>
      </c>
      <c r="C14" s="18">
        <v>0.25</v>
      </c>
      <c r="D14" s="15" t="s">
        <v>37</v>
      </c>
      <c r="E14" s="15" t="s">
        <v>38</v>
      </c>
    </row>
    <row r="15" spans="1:5" ht="18" customHeight="1" x14ac:dyDescent="0.3">
      <c r="A15" s="14" t="s">
        <v>30</v>
      </c>
      <c r="B15" s="15" t="s">
        <v>39</v>
      </c>
      <c r="C15" s="16">
        <v>150</v>
      </c>
      <c r="D15" s="15" t="s">
        <v>40</v>
      </c>
      <c r="E15" s="15" t="s">
        <v>41</v>
      </c>
    </row>
    <row r="16" spans="1:5" ht="18" customHeight="1" x14ac:dyDescent="0.3">
      <c r="A16" s="10" t="s">
        <v>42</v>
      </c>
      <c r="B16" s="11" t="s">
        <v>43</v>
      </c>
      <c r="C16" s="19">
        <v>600000</v>
      </c>
      <c r="D16" s="11" t="s">
        <v>44</v>
      </c>
      <c r="E16" s="11" t="s">
        <v>45</v>
      </c>
    </row>
    <row r="17" spans="1:5" ht="18" customHeight="1" x14ac:dyDescent="0.3">
      <c r="A17" s="10" t="s">
        <v>42</v>
      </c>
      <c r="B17" s="11" t="s">
        <v>46</v>
      </c>
      <c r="C17" s="19">
        <v>800000</v>
      </c>
      <c r="D17" s="11" t="s">
        <v>47</v>
      </c>
      <c r="E17" s="11" t="s">
        <v>48</v>
      </c>
    </row>
    <row r="18" spans="1:5" ht="18" customHeight="1" x14ac:dyDescent="0.3">
      <c r="A18" s="10" t="s">
        <v>42</v>
      </c>
      <c r="B18" s="11" t="s">
        <v>49</v>
      </c>
      <c r="C18" s="19">
        <v>200000</v>
      </c>
      <c r="D18" s="11" t="s">
        <v>47</v>
      </c>
      <c r="E18" s="11" t="s">
        <v>50</v>
      </c>
    </row>
    <row r="19" spans="1:5" ht="18" customHeight="1" x14ac:dyDescent="0.3">
      <c r="A19" s="10" t="s">
        <v>42</v>
      </c>
      <c r="B19" s="11" t="s">
        <v>51</v>
      </c>
      <c r="C19" s="19">
        <v>150000</v>
      </c>
      <c r="D19" s="11" t="s">
        <v>47</v>
      </c>
      <c r="E19" s="11" t="s">
        <v>52</v>
      </c>
    </row>
    <row r="20" spans="1:5" ht="18" customHeight="1" x14ac:dyDescent="0.3">
      <c r="A20" s="10" t="s">
        <v>42</v>
      </c>
      <c r="B20" s="11" t="s">
        <v>53</v>
      </c>
      <c r="C20" s="19">
        <v>100000</v>
      </c>
      <c r="D20" s="11" t="s">
        <v>44</v>
      </c>
      <c r="E20" s="11" t="s">
        <v>54</v>
      </c>
    </row>
    <row r="21" spans="1:5" ht="18" customHeight="1" x14ac:dyDescent="0.3">
      <c r="A21" s="14" t="s">
        <v>55</v>
      </c>
      <c r="B21" s="15" t="s">
        <v>56</v>
      </c>
      <c r="C21" s="18">
        <v>0.08</v>
      </c>
      <c r="D21" s="15" t="s">
        <v>57</v>
      </c>
      <c r="E21" s="15" t="s">
        <v>58</v>
      </c>
    </row>
    <row r="22" spans="1:5" ht="18" customHeight="1" x14ac:dyDescent="0.3">
      <c r="A22" s="14" t="s">
        <v>55</v>
      </c>
      <c r="B22" s="15" t="s">
        <v>59</v>
      </c>
      <c r="C22" s="18">
        <v>0.05</v>
      </c>
      <c r="D22" s="15" t="s">
        <v>60</v>
      </c>
      <c r="E22" s="15" t="s">
        <v>61</v>
      </c>
    </row>
    <row r="23" spans="1:5" ht="18" customHeight="1" x14ac:dyDescent="0.3">
      <c r="A23" s="14" t="s">
        <v>55</v>
      </c>
      <c r="B23" s="15" t="s">
        <v>62</v>
      </c>
      <c r="C23" s="16">
        <v>15000000</v>
      </c>
      <c r="D23" s="15" t="s">
        <v>47</v>
      </c>
      <c r="E23" s="15" t="s">
        <v>63</v>
      </c>
    </row>
    <row r="24" spans="1:5" ht="18" customHeight="1" x14ac:dyDescent="0.3">
      <c r="A24" s="10" t="s">
        <v>64</v>
      </c>
      <c r="B24" s="11" t="s">
        <v>65</v>
      </c>
      <c r="C24" s="19">
        <v>250000</v>
      </c>
      <c r="D24" s="11" t="s">
        <v>47</v>
      </c>
      <c r="E24" s="11" t="s">
        <v>66</v>
      </c>
    </row>
    <row r="25" spans="1:5" ht="18" customHeight="1" x14ac:dyDescent="0.3">
      <c r="A25" s="10" t="s">
        <v>64</v>
      </c>
      <c r="B25" s="11" t="s">
        <v>67</v>
      </c>
      <c r="C25" s="17">
        <v>0.15</v>
      </c>
      <c r="D25" s="11" t="s">
        <v>68</v>
      </c>
      <c r="E25" s="11" t="s">
        <v>69</v>
      </c>
    </row>
    <row r="27" spans="1:5" ht="15" customHeight="1" x14ac:dyDescent="0.3">
      <c r="A27" s="6" t="s">
        <v>70</v>
      </c>
      <c r="B27" s="6"/>
      <c r="C27" s="6"/>
      <c r="D27" s="6"/>
      <c r="E27" s="6"/>
    </row>
    <row r="28" spans="1:5" ht="15" customHeight="1" x14ac:dyDescent="0.3">
      <c r="A28" s="20" t="s">
        <v>71</v>
      </c>
    </row>
    <row r="29" spans="1:5" ht="15" customHeight="1" x14ac:dyDescent="0.3">
      <c r="A29" s="21" t="s">
        <v>72</v>
      </c>
    </row>
    <row r="30" spans="1:5" ht="15" customHeight="1" x14ac:dyDescent="0.3">
      <c r="A30" s="22" t="s">
        <v>73</v>
      </c>
    </row>
  </sheetData>
  <mergeCells count="3">
    <mergeCell ref="A1:E1"/>
    <mergeCell ref="A2:E2"/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zoomScaleNormal="100" workbookViewId="0">
      <pane ySplit="4" topLeftCell="A5" activePane="bottomLeft" state="frozen"/>
      <selection pane="bottomLeft" activeCell="A14" sqref="A14:D14"/>
    </sheetView>
  </sheetViews>
  <sheetFormatPr defaultColWidth="8.6640625" defaultRowHeight="14.4" x14ac:dyDescent="0.3"/>
  <cols>
    <col min="1" max="1" width="44" customWidth="1"/>
    <col min="2" max="2" width="36" customWidth="1"/>
    <col min="3" max="3" width="22" customWidth="1"/>
    <col min="4" max="4" width="44" customWidth="1"/>
  </cols>
  <sheetData>
    <row r="1" spans="1:5" ht="27.75" customHeight="1" x14ac:dyDescent="0.3">
      <c r="A1" s="8" t="s">
        <v>74</v>
      </c>
      <c r="B1" s="8"/>
      <c r="C1" s="8"/>
      <c r="D1" s="8"/>
      <c r="E1" s="8"/>
    </row>
    <row r="2" spans="1:5" ht="18" customHeight="1" x14ac:dyDescent="0.3">
      <c r="A2" s="7" t="s">
        <v>75</v>
      </c>
      <c r="B2" s="7"/>
      <c r="C2" s="7"/>
      <c r="D2" s="7"/>
      <c r="E2" s="7"/>
    </row>
    <row r="3" spans="1:5" ht="6" customHeight="1" x14ac:dyDescent="0.3"/>
    <row r="4" spans="1:5" ht="21.75" customHeight="1" x14ac:dyDescent="0.3">
      <c r="A4" s="9" t="s">
        <v>76</v>
      </c>
      <c r="B4" s="9" t="s">
        <v>77</v>
      </c>
      <c r="C4" s="9" t="s">
        <v>78</v>
      </c>
      <c r="D4" s="9" t="s">
        <v>79</v>
      </c>
    </row>
    <row r="5" spans="1:5" x14ac:dyDescent="0.3">
      <c r="A5" s="15" t="s">
        <v>80</v>
      </c>
      <c r="B5" s="23">
        <f>Assumptions!C5*Assumptions!C7</f>
        <v>4500000</v>
      </c>
      <c r="C5" s="24">
        <f>Assumptions!C5*Assumptions!C7</f>
        <v>4500000</v>
      </c>
      <c r="D5" s="15" t="s">
        <v>81</v>
      </c>
    </row>
    <row r="6" spans="1:5" ht="26.4" x14ac:dyDescent="0.3">
      <c r="A6" s="11" t="s">
        <v>82</v>
      </c>
      <c r="B6" s="25">
        <f>Assumptions!C5*Assumptions!C10*Assumptions!C9</f>
        <v>2250000</v>
      </c>
      <c r="C6" s="26">
        <f>Assumptions!C5*Assumptions!C10*Assumptions!C9</f>
        <v>2250000</v>
      </c>
      <c r="D6" s="11" t="s">
        <v>83</v>
      </c>
    </row>
    <row r="7" spans="1:5" ht="26.4" x14ac:dyDescent="0.3">
      <c r="A7" s="15" t="s">
        <v>84</v>
      </c>
      <c r="B7" s="23">
        <f>(Assumptions!C6-Assumptions!C5)*Assumptions!C14*Assumptions!C15</f>
        <v>-5662751.6778523484</v>
      </c>
      <c r="C7" s="24">
        <f>(Assumptions!C6-Assumptions!C5)*Assumptions!C14*Assumptions!C15</f>
        <v>-5662751.6778523484</v>
      </c>
      <c r="D7" s="15" t="s">
        <v>85</v>
      </c>
    </row>
    <row r="8" spans="1:5" ht="26.4" x14ac:dyDescent="0.3">
      <c r="A8" s="11" t="s">
        <v>86</v>
      </c>
      <c r="B8" s="25">
        <f>Assumptions!C22*Assumptions!C23</f>
        <v>750000</v>
      </c>
      <c r="C8" s="26">
        <f>Assumptions!C22*Assumptions!C23</f>
        <v>750000</v>
      </c>
      <c r="D8" s="11" t="s">
        <v>87</v>
      </c>
    </row>
    <row r="9" spans="1:5" ht="24" customHeight="1" x14ac:dyDescent="0.3">
      <c r="A9" s="5" t="s">
        <v>88</v>
      </c>
      <c r="B9" s="5"/>
      <c r="C9" s="28">
        <f>SUM(C5:C8)</f>
        <v>1837248.3221476516</v>
      </c>
      <c r="D9" s="27" t="s">
        <v>89</v>
      </c>
    </row>
    <row r="10" spans="1:5" ht="6" customHeight="1" x14ac:dyDescent="0.3"/>
    <row r="11" spans="1:5" ht="15" customHeight="1" x14ac:dyDescent="0.3">
      <c r="A11" s="4" t="s">
        <v>90</v>
      </c>
      <c r="B11" s="4"/>
      <c r="C11" s="4"/>
      <c r="D11" s="4"/>
    </row>
    <row r="12" spans="1:5" ht="18" customHeight="1" x14ac:dyDescent="0.3">
      <c r="A12" s="3" t="s">
        <v>91</v>
      </c>
      <c r="B12" s="3"/>
      <c r="C12" s="3"/>
      <c r="D12" s="3"/>
    </row>
    <row r="13" spans="1:5" ht="18" customHeight="1" x14ac:dyDescent="0.3">
      <c r="A13" s="3" t="s">
        <v>92</v>
      </c>
      <c r="B13" s="3"/>
      <c r="C13" s="3"/>
      <c r="D13" s="3"/>
    </row>
    <row r="14" spans="1:5" ht="18" customHeight="1" x14ac:dyDescent="0.3">
      <c r="A14" s="3" t="s">
        <v>93</v>
      </c>
      <c r="B14" s="3"/>
      <c r="C14" s="3"/>
      <c r="D14" s="3"/>
    </row>
    <row r="15" spans="1:5" ht="18" customHeight="1" x14ac:dyDescent="0.3">
      <c r="A15" s="3" t="s">
        <v>94</v>
      </c>
      <c r="B15" s="3"/>
      <c r="C15" s="3"/>
      <c r="D15" s="3"/>
    </row>
  </sheetData>
  <mergeCells count="8">
    <mergeCell ref="A13:D13"/>
    <mergeCell ref="A14:D14"/>
    <mergeCell ref="A15:D15"/>
    <mergeCell ref="A1:E1"/>
    <mergeCell ref="A2:E2"/>
    <mergeCell ref="A9:B9"/>
    <mergeCell ref="A11:D11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zoomScaleNormal="100" workbookViewId="0">
      <pane ySplit="4" topLeftCell="A5" activePane="bottomLeft" state="frozen"/>
      <selection pane="bottomLeft" activeCell="C16" sqref="C16"/>
    </sheetView>
  </sheetViews>
  <sheetFormatPr defaultColWidth="8.6640625" defaultRowHeight="14.4" x14ac:dyDescent="0.3"/>
  <cols>
    <col min="1" max="1" width="38" customWidth="1"/>
    <col min="2" max="2" width="24.88671875" customWidth="1"/>
    <col min="3" max="3" width="22" customWidth="1"/>
    <col min="4" max="4" width="25.88671875" customWidth="1"/>
    <col min="5" max="5" width="6" customWidth="1"/>
    <col min="6" max="6" width="38" customWidth="1"/>
  </cols>
  <sheetData>
    <row r="1" spans="1:6" ht="27.75" customHeight="1" x14ac:dyDescent="0.3">
      <c r="A1" s="8" t="s">
        <v>95</v>
      </c>
      <c r="B1" s="8"/>
      <c r="C1" s="8"/>
      <c r="D1" s="8"/>
      <c r="E1" s="8"/>
      <c r="F1" s="8"/>
    </row>
    <row r="2" spans="1:6" ht="18" customHeight="1" x14ac:dyDescent="0.3">
      <c r="A2" s="7" t="s">
        <v>96</v>
      </c>
      <c r="B2" s="7"/>
      <c r="C2" s="7"/>
      <c r="D2" s="7"/>
      <c r="E2" s="7"/>
      <c r="F2" s="7"/>
    </row>
    <row r="3" spans="1:6" ht="6" customHeight="1" x14ac:dyDescent="0.3"/>
    <row r="4" spans="1:6" ht="39.6" x14ac:dyDescent="0.3">
      <c r="A4" s="9" t="s">
        <v>97</v>
      </c>
      <c r="B4" s="9" t="s">
        <v>98</v>
      </c>
      <c r="C4" s="9" t="s">
        <v>99</v>
      </c>
      <c r="D4" s="9" t="s">
        <v>100</v>
      </c>
      <c r="F4" s="9" t="s">
        <v>79</v>
      </c>
    </row>
    <row r="5" spans="1:6" ht="19.5" customHeight="1" x14ac:dyDescent="0.3">
      <c r="A5" s="15" t="s">
        <v>101</v>
      </c>
      <c r="B5" s="24">
        <f>0</f>
        <v>0</v>
      </c>
      <c r="C5" s="24">
        <f>Assumptions!C24</f>
        <v>250000</v>
      </c>
      <c r="D5" s="24">
        <f>Assumptions!C17+Assumptions!C18+Assumptions!C19</f>
        <v>1150000</v>
      </c>
      <c r="E5" s="29"/>
      <c r="F5" s="15" t="s">
        <v>102</v>
      </c>
    </row>
    <row r="6" spans="1:6" ht="19.5" customHeight="1" x14ac:dyDescent="0.3">
      <c r="A6" s="11" t="s">
        <v>103</v>
      </c>
      <c r="B6" s="26">
        <f>0</f>
        <v>0</v>
      </c>
      <c r="C6" s="26">
        <f>0</f>
        <v>0</v>
      </c>
      <c r="D6" s="26">
        <f>Assumptions!C16+Assumptions!C20</f>
        <v>700000</v>
      </c>
      <c r="E6" s="29"/>
      <c r="F6" s="11" t="s">
        <v>104</v>
      </c>
    </row>
    <row r="7" spans="1:6" ht="19.5" customHeight="1" x14ac:dyDescent="0.3">
      <c r="A7" s="15" t="s">
        <v>105</v>
      </c>
      <c r="B7" s="24">
        <f>Assumptions!C5*Assumptions!C7</f>
        <v>4500000</v>
      </c>
      <c r="C7" s="24">
        <f>Assumptions!C5*Assumptions!C7*(1-Assumptions!C25)</f>
        <v>3825000</v>
      </c>
      <c r="D7" s="24">
        <f>Assumptions!C5*Assumptions!C8</f>
        <v>1050000</v>
      </c>
      <c r="E7" s="29"/>
      <c r="F7" s="15" t="s">
        <v>106</v>
      </c>
    </row>
    <row r="8" spans="1:6" ht="19.5" customHeight="1" x14ac:dyDescent="0.3">
      <c r="A8" s="11" t="s">
        <v>107</v>
      </c>
      <c r="B8" s="26">
        <f>Assumptions!C5*Assumptions!C10*Assumptions!C9</f>
        <v>2250000</v>
      </c>
      <c r="C8" s="26">
        <f>Assumptions!C5*Assumptions!C10*Assumptions!C9</f>
        <v>2250000</v>
      </c>
      <c r="D8" s="26">
        <f>Assumptions!C5*Assumptions!C10*(1-Assumptions!C11)*Assumptions!C9</f>
        <v>1012499.9999999998</v>
      </c>
      <c r="E8" s="29"/>
      <c r="F8" s="11" t="s">
        <v>108</v>
      </c>
    </row>
    <row r="9" spans="1:6" ht="26.4" x14ac:dyDescent="0.3">
      <c r="A9" s="15" t="s">
        <v>109</v>
      </c>
      <c r="B9" s="24">
        <f>0</f>
        <v>0</v>
      </c>
      <c r="C9" s="24">
        <f>0</f>
        <v>0</v>
      </c>
      <c r="D9" s="24">
        <f>(Assumptions!C6-Assumptions!C5)*(Assumptions!C12-Assumptions!C13)/(1-Assumptions!C12)*Assumptions!C14*Assumptions!C15</f>
        <v>-2265100.6711409395</v>
      </c>
      <c r="E9" s="29"/>
      <c r="F9" s="15" t="s">
        <v>110</v>
      </c>
    </row>
    <row r="10" spans="1:6" ht="19.5" customHeight="1" x14ac:dyDescent="0.3">
      <c r="A10" s="11" t="s">
        <v>111</v>
      </c>
      <c r="B10" s="26">
        <f>Assumptions!C22*Assumptions!C23</f>
        <v>750000</v>
      </c>
      <c r="C10" s="26">
        <f>Assumptions!C22*Assumptions!C23*0.7</f>
        <v>525000</v>
      </c>
      <c r="D10" s="26">
        <f>Assumptions!C22*Assumptions!C23*0.1</f>
        <v>75000</v>
      </c>
      <c r="E10" s="29"/>
      <c r="F10" s="11" t="s">
        <v>112</v>
      </c>
    </row>
    <row r="11" spans="1:6" ht="19.5" customHeight="1" x14ac:dyDescent="0.3">
      <c r="A11" s="15" t="s">
        <v>113</v>
      </c>
      <c r="B11" s="24">
        <f>C7+C8+C10</f>
        <v>6600000</v>
      </c>
      <c r="C11" s="24">
        <f>B5/5+C7+C8+C10</f>
        <v>6600000</v>
      </c>
      <c r="D11" s="24">
        <f>D6+D7+D8-D9+D10</f>
        <v>5102600.671140939</v>
      </c>
      <c r="E11" s="29"/>
      <c r="F11" s="15" t="s">
        <v>114</v>
      </c>
    </row>
    <row r="12" spans="1:6" ht="6" customHeight="1" x14ac:dyDescent="0.3"/>
    <row r="13" spans="1:6" ht="36" customHeight="1" x14ac:dyDescent="0.3">
      <c r="A13" s="30" t="s">
        <v>115</v>
      </c>
      <c r="B13" s="31" t="s">
        <v>116</v>
      </c>
      <c r="C13" s="32" t="s">
        <v>117</v>
      </c>
      <c r="D13" s="33" t="s">
        <v>118</v>
      </c>
      <c r="E13" s="29"/>
      <c r="F13" s="30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G1"/>
    </sheetView>
  </sheetViews>
  <sheetFormatPr defaultColWidth="8.6640625" defaultRowHeight="14.4" x14ac:dyDescent="0.3"/>
  <cols>
    <col min="1" max="1" width="42" customWidth="1"/>
    <col min="2" max="6" width="20" customWidth="1"/>
    <col min="7" max="7" width="36" customWidth="1"/>
  </cols>
  <sheetData>
    <row r="1" spans="1:7" ht="27.75" customHeight="1" x14ac:dyDescent="0.3">
      <c r="A1" s="8" t="s">
        <v>119</v>
      </c>
      <c r="B1" s="8"/>
      <c r="C1" s="8"/>
      <c r="D1" s="8"/>
      <c r="E1" s="8"/>
      <c r="F1" s="8"/>
      <c r="G1" s="8"/>
    </row>
    <row r="2" spans="1:7" ht="18" customHeight="1" x14ac:dyDescent="0.3">
      <c r="A2" s="7" t="s">
        <v>120</v>
      </c>
      <c r="B2" s="7"/>
      <c r="C2" s="7"/>
      <c r="D2" s="7"/>
      <c r="E2" s="7"/>
      <c r="F2" s="7"/>
      <c r="G2" s="7"/>
    </row>
    <row r="3" spans="1:7" ht="6" customHeight="1" x14ac:dyDescent="0.3"/>
    <row r="4" spans="1:7" ht="21.75" customHeight="1" x14ac:dyDescent="0.3">
      <c r="A4" s="9" t="s">
        <v>121</v>
      </c>
      <c r="B4" s="9" t="s">
        <v>122</v>
      </c>
      <c r="C4" s="9" t="s">
        <v>123</v>
      </c>
      <c r="D4" s="9" t="s">
        <v>124</v>
      </c>
      <c r="E4" s="9" t="s">
        <v>125</v>
      </c>
      <c r="F4" s="9" t="s">
        <v>126</v>
      </c>
      <c r="G4" s="9" t="s">
        <v>79</v>
      </c>
    </row>
    <row r="5" spans="1:7" ht="6" customHeight="1" x14ac:dyDescent="0.3"/>
    <row r="6" spans="1:7" ht="18" customHeight="1" x14ac:dyDescent="0.3">
      <c r="A6" s="2" t="s">
        <v>127</v>
      </c>
      <c r="B6" s="2"/>
      <c r="C6" s="2"/>
      <c r="D6" s="2"/>
      <c r="E6" s="2"/>
      <c r="F6" s="2"/>
      <c r="G6" s="2"/>
    </row>
    <row r="7" spans="1:7" ht="18" customHeight="1" x14ac:dyDescent="0.3">
      <c r="A7" s="15" t="s">
        <v>128</v>
      </c>
      <c r="B7" s="24">
        <f>-Assumptions!C17</f>
        <v>-800000</v>
      </c>
      <c r="C7" s="24">
        <f>0</f>
        <v>0</v>
      </c>
      <c r="D7" s="24">
        <f>0</f>
        <v>0</v>
      </c>
      <c r="E7" s="24">
        <f>0</f>
        <v>0</v>
      </c>
      <c r="F7" s="34">
        <f>SUM(B7:E7)</f>
        <v>-800000</v>
      </c>
      <c r="G7" s="15" t="s">
        <v>129</v>
      </c>
    </row>
    <row r="8" spans="1:7" ht="18" customHeight="1" x14ac:dyDescent="0.3">
      <c r="A8" s="11" t="s">
        <v>130</v>
      </c>
      <c r="B8" s="26">
        <f>-Assumptions!C18</f>
        <v>-200000</v>
      </c>
      <c r="C8" s="26">
        <f>0</f>
        <v>0</v>
      </c>
      <c r="D8" s="26">
        <f>0</f>
        <v>0</v>
      </c>
      <c r="E8" s="26">
        <f>0</f>
        <v>0</v>
      </c>
      <c r="F8" s="35">
        <f>SUM(B8:E8)</f>
        <v>-200000</v>
      </c>
      <c r="G8" s="11" t="s">
        <v>129</v>
      </c>
    </row>
    <row r="9" spans="1:7" ht="18" customHeight="1" x14ac:dyDescent="0.3">
      <c r="A9" s="15" t="s">
        <v>131</v>
      </c>
      <c r="B9" s="24">
        <f>-Assumptions!C19</f>
        <v>-150000</v>
      </c>
      <c r="C9" s="24">
        <f>0</f>
        <v>0</v>
      </c>
      <c r="D9" s="24">
        <f>0</f>
        <v>0</v>
      </c>
      <c r="E9" s="24">
        <f>0</f>
        <v>0</v>
      </c>
      <c r="F9" s="34">
        <f>SUM(B9:E9)</f>
        <v>-150000</v>
      </c>
      <c r="G9" s="15" t="s">
        <v>129</v>
      </c>
    </row>
    <row r="10" spans="1:7" ht="19.5" customHeight="1" x14ac:dyDescent="0.3">
      <c r="A10" s="36" t="s">
        <v>132</v>
      </c>
      <c r="B10" s="37">
        <f>SUM(B7:B9)</f>
        <v>-1150000</v>
      </c>
      <c r="C10" s="37">
        <f>SUM(C7:C9)</f>
        <v>0</v>
      </c>
      <c r="D10" s="37">
        <f>SUM(D7:D9)</f>
        <v>0</v>
      </c>
      <c r="E10" s="37">
        <f>SUM(E7:E9)</f>
        <v>0</v>
      </c>
      <c r="F10" s="37">
        <f>SUM(F7:F9)</f>
        <v>-1150000</v>
      </c>
      <c r="G10" s="38"/>
    </row>
    <row r="11" spans="1:7" ht="6" customHeight="1" x14ac:dyDescent="0.3"/>
    <row r="12" spans="1:7" ht="18" customHeight="1" x14ac:dyDescent="0.3">
      <c r="A12" s="2" t="s">
        <v>133</v>
      </c>
      <c r="B12" s="2"/>
      <c r="C12" s="2"/>
      <c r="D12" s="2"/>
      <c r="E12" s="2"/>
      <c r="F12" s="2"/>
      <c r="G12" s="2"/>
    </row>
    <row r="13" spans="1:7" ht="18" customHeight="1" x14ac:dyDescent="0.3">
      <c r="A13" s="15" t="s">
        <v>134</v>
      </c>
      <c r="B13" s="24">
        <f>0</f>
        <v>0</v>
      </c>
      <c r="C13" s="24">
        <f>-Assumptions!C16</f>
        <v>-600000</v>
      </c>
      <c r="D13" s="24">
        <f>-Assumptions!C16</f>
        <v>-600000</v>
      </c>
      <c r="E13" s="24">
        <f>-Assumptions!C16</f>
        <v>-600000</v>
      </c>
      <c r="F13" s="34">
        <f>SUM(B13:E13)</f>
        <v>-1800000</v>
      </c>
      <c r="G13" s="15" t="s">
        <v>135</v>
      </c>
    </row>
    <row r="14" spans="1:7" ht="18" customHeight="1" x14ac:dyDescent="0.3">
      <c r="A14" s="11" t="s">
        <v>136</v>
      </c>
      <c r="B14" s="26">
        <f>0</f>
        <v>0</v>
      </c>
      <c r="C14" s="26">
        <f>-Assumptions!C20</f>
        <v>-100000</v>
      </c>
      <c r="D14" s="26">
        <f>-Assumptions!C20</f>
        <v>-100000</v>
      </c>
      <c r="E14" s="26">
        <f>-Assumptions!C20</f>
        <v>-100000</v>
      </c>
      <c r="F14" s="35">
        <f>SUM(B14:E14)</f>
        <v>-300000</v>
      </c>
      <c r="G14" s="11" t="s">
        <v>137</v>
      </c>
    </row>
    <row r="15" spans="1:7" ht="18" customHeight="1" x14ac:dyDescent="0.3">
      <c r="A15" s="15" t="s">
        <v>138</v>
      </c>
      <c r="B15" s="24">
        <f>0</f>
        <v>0</v>
      </c>
      <c r="C15" s="24">
        <f>-Assumptions!C5*Assumptions!C8</f>
        <v>-1050000</v>
      </c>
      <c r="D15" s="24">
        <f>-Assumptions!C5*Assumptions!C8</f>
        <v>-1050000</v>
      </c>
      <c r="E15" s="24">
        <f>-Assumptions!C5*Assumptions!C8</f>
        <v>-1050000</v>
      </c>
      <c r="F15" s="34">
        <f>SUM(B15:E15)</f>
        <v>-3150000</v>
      </c>
      <c r="G15" s="15" t="s">
        <v>139</v>
      </c>
    </row>
    <row r="16" spans="1:7" ht="19.5" customHeight="1" x14ac:dyDescent="0.3">
      <c r="A16" s="36" t="s">
        <v>140</v>
      </c>
      <c r="B16" s="37">
        <f>SUM(B13:B15)</f>
        <v>0</v>
      </c>
      <c r="C16" s="37">
        <f>SUM(C13:C15)</f>
        <v>-1750000</v>
      </c>
      <c r="D16" s="37">
        <f>SUM(D13:D15)</f>
        <v>-1750000</v>
      </c>
      <c r="E16" s="37">
        <f>SUM(E13:E15)</f>
        <v>-1750000</v>
      </c>
      <c r="F16" s="37">
        <f>SUM(F13:F15)</f>
        <v>-5250000</v>
      </c>
      <c r="G16" s="38"/>
    </row>
    <row r="17" spans="1:7" ht="6" customHeight="1" x14ac:dyDescent="0.3"/>
    <row r="18" spans="1:7" ht="18" customHeight="1" x14ac:dyDescent="0.3">
      <c r="A18" s="2" t="s">
        <v>141</v>
      </c>
      <c r="B18" s="2"/>
      <c r="C18" s="2"/>
      <c r="D18" s="2"/>
      <c r="E18" s="2"/>
      <c r="F18" s="2"/>
      <c r="G18" s="2"/>
    </row>
    <row r="19" spans="1:7" ht="18" customHeight="1" x14ac:dyDescent="0.3">
      <c r="A19" s="15" t="s">
        <v>142</v>
      </c>
      <c r="B19" s="24">
        <f>0</f>
        <v>0</v>
      </c>
      <c r="C19" s="24">
        <f>Assumptions!C5*(Assumptions!C7-Assumptions!C8)</f>
        <v>3450000</v>
      </c>
      <c r="D19" s="24">
        <f>Assumptions!C5*(Assumptions!C7-Assumptions!C8)</f>
        <v>3450000</v>
      </c>
      <c r="E19" s="24">
        <f>Assumptions!C5*(Assumptions!C7-Assumptions!C8)</f>
        <v>3450000</v>
      </c>
      <c r="F19" s="34">
        <f>SUM(B19:E19)</f>
        <v>10350000</v>
      </c>
      <c r="G19" s="15" t="s">
        <v>143</v>
      </c>
    </row>
    <row r="20" spans="1:7" ht="24.6" customHeight="1" x14ac:dyDescent="0.3">
      <c r="A20" s="11" t="s">
        <v>144</v>
      </c>
      <c r="B20" s="26">
        <f>0</f>
        <v>0</v>
      </c>
      <c r="C20" s="26">
        <f>Assumptions!C5*Assumptions!C10*Assumptions!C11*Assumptions!C9</f>
        <v>1237500.0000000002</v>
      </c>
      <c r="D20" s="26">
        <f>Assumptions!C5*Assumptions!C10*Assumptions!C11*Assumptions!C9</f>
        <v>1237500.0000000002</v>
      </c>
      <c r="E20" s="26">
        <f>Assumptions!C5*Assumptions!C10*Assumptions!C11*Assumptions!C9</f>
        <v>1237500.0000000002</v>
      </c>
      <c r="F20" s="35">
        <f>SUM(B20:E20)</f>
        <v>3712500.0000000009</v>
      </c>
      <c r="G20" s="11" t="s">
        <v>145</v>
      </c>
    </row>
    <row r="21" spans="1:7" ht="26.4" x14ac:dyDescent="0.3">
      <c r="A21" s="15" t="s">
        <v>146</v>
      </c>
      <c r="B21" s="24">
        <f>0</f>
        <v>0</v>
      </c>
      <c r="C21" s="24">
        <f>(Assumptions!C6-Assumptions!C5)*(Assumptions!C12-Assumptions!C13)/(1-Assumptions!C12)*Assumptions!C14*Assumptions!C15</f>
        <v>-2265100.6711409395</v>
      </c>
      <c r="D21" s="24">
        <f>(Assumptions!C6-Assumptions!C5)*(Assumptions!C12-Assumptions!C13)/(1-Assumptions!C12)*Assumptions!C14*Assumptions!C15</f>
        <v>-2265100.6711409395</v>
      </c>
      <c r="E21" s="24">
        <f>(Assumptions!C6-Assumptions!C5)*(Assumptions!C12-Assumptions!C13)/(1-Assumptions!C12)*Assumptions!C14*Assumptions!C15</f>
        <v>-2265100.6711409395</v>
      </c>
      <c r="F21" s="34">
        <f>SUM(B21:E21)</f>
        <v>-6795302.0134228189</v>
      </c>
      <c r="G21" s="15" t="s">
        <v>147</v>
      </c>
    </row>
    <row r="22" spans="1:7" ht="26.4" x14ac:dyDescent="0.3">
      <c r="A22" s="11" t="s">
        <v>148</v>
      </c>
      <c r="B22" s="26">
        <f>0</f>
        <v>0</v>
      </c>
      <c r="C22" s="26">
        <f>Assumptions!C22*Assumptions!C23</f>
        <v>750000</v>
      </c>
      <c r="D22" s="26">
        <f>Assumptions!C22*Assumptions!C23</f>
        <v>750000</v>
      </c>
      <c r="E22" s="26">
        <f>Assumptions!C22*Assumptions!C23</f>
        <v>750000</v>
      </c>
      <c r="F22" s="35">
        <f>SUM(B22:E22)</f>
        <v>2250000</v>
      </c>
      <c r="G22" s="11" t="s">
        <v>149</v>
      </c>
    </row>
    <row r="23" spans="1:7" ht="19.5" customHeight="1" x14ac:dyDescent="0.3">
      <c r="A23" s="36" t="s">
        <v>150</v>
      </c>
      <c r="B23" s="37">
        <f>SUM(B19:B22)</f>
        <v>0</v>
      </c>
      <c r="C23" s="37">
        <f>SUM(C19:C22)</f>
        <v>3172399.3288590605</v>
      </c>
      <c r="D23" s="37">
        <f>SUM(D19:D22)</f>
        <v>3172399.3288590605</v>
      </c>
      <c r="E23" s="37">
        <f>SUM(E19:E22)</f>
        <v>3172399.3288590605</v>
      </c>
      <c r="F23" s="37">
        <f>SUM(F19:F22)</f>
        <v>9517197.9865771811</v>
      </c>
      <c r="G23" s="38"/>
    </row>
    <row r="24" spans="1:7" ht="6" customHeight="1" x14ac:dyDescent="0.3"/>
    <row r="25" spans="1:7" ht="21.75" customHeight="1" x14ac:dyDescent="0.3">
      <c r="A25" s="27" t="s">
        <v>151</v>
      </c>
      <c r="B25" s="28">
        <f>B23+B10+B16</f>
        <v>-1150000</v>
      </c>
      <c r="C25" s="28">
        <f>C23+C10+C16</f>
        <v>1422399.3288590605</v>
      </c>
      <c r="D25" s="28">
        <f>D23+D10+D16</f>
        <v>1422399.3288590605</v>
      </c>
      <c r="E25" s="28">
        <f>E23+E10+E16</f>
        <v>1422399.3288590605</v>
      </c>
      <c r="F25" s="28">
        <f>F23+F10+F16</f>
        <v>3117197.9865771811</v>
      </c>
      <c r="G25" s="39" t="s">
        <v>152</v>
      </c>
    </row>
    <row r="26" spans="1:7" ht="21.75" customHeight="1" x14ac:dyDescent="0.3">
      <c r="A26" s="40" t="s">
        <v>153</v>
      </c>
      <c r="B26" s="41">
        <f>B25</f>
        <v>-1150000</v>
      </c>
      <c r="C26" s="41">
        <f>B26+C25</f>
        <v>272399.32885906054</v>
      </c>
      <c r="D26" s="41">
        <f>C26+D25</f>
        <v>1694798.6577181211</v>
      </c>
      <c r="E26" s="41">
        <f>D26+E25</f>
        <v>3117197.9865771816</v>
      </c>
      <c r="F26" s="41">
        <f>E26</f>
        <v>3117197.9865771816</v>
      </c>
      <c r="G26" s="42" t="s">
        <v>154</v>
      </c>
    </row>
    <row r="27" spans="1:7" ht="6" customHeight="1" x14ac:dyDescent="0.3"/>
    <row r="28" spans="1:7" ht="18" customHeight="1" x14ac:dyDescent="0.3">
      <c r="A28" s="2" t="s">
        <v>155</v>
      </c>
      <c r="B28" s="2"/>
      <c r="C28" s="2"/>
      <c r="D28" s="2"/>
      <c r="E28" s="2"/>
      <c r="F28" s="2"/>
      <c r="G28" s="2"/>
    </row>
    <row r="29" spans="1:7" ht="21.75" customHeight="1" x14ac:dyDescent="0.3">
      <c r="A29" s="14" t="s">
        <v>156</v>
      </c>
      <c r="B29" s="43"/>
      <c r="C29" s="44">
        <f>B10</f>
        <v>-1150000</v>
      </c>
      <c r="D29" s="43"/>
      <c r="E29" s="43"/>
      <c r="F29" s="43"/>
      <c r="G29" s="15" t="s">
        <v>157</v>
      </c>
    </row>
    <row r="30" spans="1:7" ht="21.75" customHeight="1" x14ac:dyDescent="0.3">
      <c r="A30" s="10" t="s">
        <v>158</v>
      </c>
      <c r="B30" s="45"/>
      <c r="C30" s="46">
        <f>C25</f>
        <v>1422399.3288590605</v>
      </c>
      <c r="D30" s="45"/>
      <c r="E30" s="45"/>
      <c r="F30" s="45"/>
      <c r="G30" s="11" t="s">
        <v>159</v>
      </c>
    </row>
    <row r="31" spans="1:7" ht="21.75" customHeight="1" x14ac:dyDescent="0.3">
      <c r="A31" s="14" t="s">
        <v>160</v>
      </c>
      <c r="B31" s="43"/>
      <c r="C31" s="44">
        <f>D23+D16</f>
        <v>1422399.3288590605</v>
      </c>
      <c r="D31" s="43"/>
      <c r="E31" s="43"/>
      <c r="F31" s="43"/>
      <c r="G31" s="15" t="s">
        <v>161</v>
      </c>
    </row>
    <row r="32" spans="1:7" ht="21.75" customHeight="1" x14ac:dyDescent="0.3">
      <c r="A32" s="10" t="s">
        <v>162</v>
      </c>
      <c r="B32" s="45"/>
      <c r="C32" s="46">
        <f>C25/(1+Assumptions!C21)+D25/(1+Assumptions!C21)^2+E25/(1+Assumptions!C21)^3+B25</f>
        <v>2515661.0250660894</v>
      </c>
      <c r="D32" s="45"/>
      <c r="E32" s="45"/>
      <c r="F32" s="45"/>
      <c r="G32" s="11" t="s">
        <v>163</v>
      </c>
    </row>
    <row r="33" spans="1:7" ht="21.75" customHeight="1" x14ac:dyDescent="0.3">
      <c r="A33" s="14" t="s">
        <v>164</v>
      </c>
      <c r="B33" s="43"/>
      <c r="C33" s="47">
        <f>-B10/((C25+D25+E25)/36)</f>
        <v>9.7019168386906518</v>
      </c>
      <c r="D33" s="43"/>
      <c r="E33" s="43"/>
      <c r="F33" s="43"/>
      <c r="G33" s="15" t="s">
        <v>165</v>
      </c>
    </row>
    <row r="34" spans="1:7" ht="21.75" customHeight="1" x14ac:dyDescent="0.3">
      <c r="A34" s="10" t="s">
        <v>166</v>
      </c>
      <c r="B34" s="45"/>
      <c r="C34" s="48">
        <f>(C25+D25+E25-ABS(B10))/ABS(B10)</f>
        <v>2.7106069448497228</v>
      </c>
      <c r="D34" s="45"/>
      <c r="E34" s="45"/>
      <c r="F34" s="45"/>
      <c r="G34" s="11" t="s">
        <v>167</v>
      </c>
    </row>
  </sheetData>
  <mergeCells count="6">
    <mergeCell ref="A28:G28"/>
    <mergeCell ref="A1:G1"/>
    <mergeCell ref="A2:G2"/>
    <mergeCell ref="A6:G6"/>
    <mergeCell ref="A12:G12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showGridLines="0" zoomScaleNormal="100" workbookViewId="0"/>
  </sheetViews>
  <sheetFormatPr defaultColWidth="8.6640625" defaultRowHeight="14.4" x14ac:dyDescent="0.3"/>
  <cols>
    <col min="1" max="1" width="36" customWidth="1"/>
    <col min="2" max="5" width="22" customWidth="1"/>
    <col min="6" max="6" width="6" customWidth="1"/>
    <col min="7" max="7" width="36" customWidth="1"/>
  </cols>
  <sheetData>
    <row r="1" spans="1:7" ht="27.75" customHeight="1" x14ac:dyDescent="0.3">
      <c r="A1" s="8" t="s">
        <v>168</v>
      </c>
      <c r="B1" s="8"/>
      <c r="C1" s="8"/>
      <c r="D1" s="8"/>
      <c r="E1" s="8"/>
      <c r="F1" s="8"/>
      <c r="G1" s="8"/>
    </row>
    <row r="2" spans="1:7" ht="18" customHeight="1" x14ac:dyDescent="0.3">
      <c r="A2" s="7" t="s">
        <v>169</v>
      </c>
      <c r="B2" s="7"/>
      <c r="C2" s="7"/>
      <c r="D2" s="7"/>
      <c r="E2" s="7"/>
      <c r="F2" s="7"/>
      <c r="G2" s="7"/>
    </row>
    <row r="3" spans="1:7" ht="6" customHeight="1" x14ac:dyDescent="0.3"/>
    <row r="4" spans="1:7" ht="18" customHeight="1" x14ac:dyDescent="0.3">
      <c r="A4" s="2" t="s">
        <v>170</v>
      </c>
      <c r="B4" s="2"/>
      <c r="C4" s="2"/>
      <c r="D4" s="2"/>
      <c r="E4" s="2"/>
      <c r="F4" s="2"/>
      <c r="G4" s="2"/>
    </row>
    <row r="5" spans="1:7" ht="23.25" customHeight="1" x14ac:dyDescent="0.3">
      <c r="A5" s="9" t="s">
        <v>171</v>
      </c>
      <c r="B5" s="9" t="s">
        <v>172</v>
      </c>
      <c r="C5" s="9" t="s">
        <v>173</v>
      </c>
      <c r="D5" s="9" t="s">
        <v>174</v>
      </c>
      <c r="E5" s="9" t="s">
        <v>79</v>
      </c>
      <c r="F5" s="49"/>
    </row>
    <row r="6" spans="1:7" ht="19.5" customHeight="1" x14ac:dyDescent="0.3">
      <c r="A6" s="15" t="s">
        <v>175</v>
      </c>
      <c r="B6" s="50">
        <f>Assumptions!C5*0.7</f>
        <v>105000</v>
      </c>
      <c r="C6" s="34">
        <f>(Assumptions!C5*0.7)*(Assumptions!C7-Assumptions!C8)+(Assumptions!C5*0.7)*Assumptions!C10*Assumptions!C11*Assumptions!C9+Assumptions!C22*Assumptions!C23+((Assumptions!C5*0.7)/(1-Assumptions!C12)-(Assumptions!C5*0.7))*(Assumptions!C12-Assumptions!C13)/(1-Assumptions!C12)*Assumptions!C14*Assumptions!C15</f>
        <v>5606250</v>
      </c>
      <c r="D6" s="34">
        <f>C6-(Assumptions!C16+Assumptions!C20)</f>
        <v>4906250</v>
      </c>
      <c r="E6" s="15"/>
      <c r="F6" s="43"/>
    </row>
    <row r="7" spans="1:7" ht="19.5" customHeight="1" x14ac:dyDescent="0.3">
      <c r="A7" s="11" t="s">
        <v>176</v>
      </c>
      <c r="B7" s="13">
        <f>Assumptions!C5*0.85</f>
        <v>127500</v>
      </c>
      <c r="C7" s="35">
        <f>(Assumptions!C5*0.85)*(Assumptions!C7-Assumptions!C8)+(Assumptions!C5*0.85)*Assumptions!C10*Assumptions!C11*Assumptions!C9+Assumptions!C22*Assumptions!C23+((Assumptions!C5*0.85)/(1-Assumptions!C12)-(Assumptions!C5*0.85))*(Assumptions!C12-Assumptions!C13)/(1-Assumptions!C12)*Assumptions!C14*Assumptions!C15</f>
        <v>6646875</v>
      </c>
      <c r="D7" s="35">
        <f>C7-(Assumptions!C16+Assumptions!C20)</f>
        <v>5946875</v>
      </c>
      <c r="E7" s="11"/>
      <c r="F7" s="45"/>
    </row>
    <row r="8" spans="1:7" ht="19.5" customHeight="1" x14ac:dyDescent="0.3">
      <c r="A8" s="51" t="s">
        <v>177</v>
      </c>
      <c r="B8" s="52">
        <f>Assumptions!C5</f>
        <v>150000</v>
      </c>
      <c r="C8" s="53">
        <f>(Assumptions!C5*1)*(Assumptions!C7-Assumptions!C8)+(Assumptions!C5*1)*Assumptions!C10*Assumptions!C11*Assumptions!C9+Assumptions!C22*Assumptions!C23+((Assumptions!C5*1)/(1-Assumptions!C12)-(Assumptions!C5*1))*(Assumptions!C12-Assumptions!C13)/(1-Assumptions!C12)*Assumptions!C14*Assumptions!C15</f>
        <v>7687500</v>
      </c>
      <c r="D8" s="53">
        <f>C8-(Assumptions!C16+Assumptions!C20)</f>
        <v>6987500</v>
      </c>
      <c r="E8" s="54" t="s">
        <v>178</v>
      </c>
      <c r="F8" s="55"/>
    </row>
    <row r="9" spans="1:7" ht="19.5" customHeight="1" x14ac:dyDescent="0.3">
      <c r="A9" s="11" t="s">
        <v>179</v>
      </c>
      <c r="B9" s="13">
        <f>Assumptions!C5*1.15</f>
        <v>172500</v>
      </c>
      <c r="C9" s="35">
        <f>(Assumptions!C5*1.15)*(Assumptions!C7-Assumptions!C8)+(Assumptions!C5*1.15)*Assumptions!C10*Assumptions!C11*Assumptions!C9+Assumptions!C22*Assumptions!C23+((Assumptions!C5*1.15)/(1-Assumptions!C12)-(Assumptions!C5*1.15))*(Assumptions!C12-Assumptions!C13)/(1-Assumptions!C12)*Assumptions!C14*Assumptions!C15</f>
        <v>8728125</v>
      </c>
      <c r="D9" s="35">
        <f>C9-(Assumptions!C16+Assumptions!C20)</f>
        <v>8028125</v>
      </c>
      <c r="E9" s="11"/>
      <c r="F9" s="45"/>
    </row>
    <row r="10" spans="1:7" ht="19.5" customHeight="1" x14ac:dyDescent="0.3">
      <c r="A10" s="15" t="s">
        <v>180</v>
      </c>
      <c r="B10" s="50">
        <f>Assumptions!C5*1.3</f>
        <v>195000</v>
      </c>
      <c r="C10" s="34">
        <f>(Assumptions!C5*1.3)*(Assumptions!C7-Assumptions!C8)+(Assumptions!C5*1.3)*Assumptions!C10*Assumptions!C11*Assumptions!C9+Assumptions!C22*Assumptions!C23+((Assumptions!C5*1.3)/(1-Assumptions!C12)-(Assumptions!C5*1.3))*(Assumptions!C12-Assumptions!C13)/(1-Assumptions!C12)*Assumptions!C14*Assumptions!C15</f>
        <v>9768750</v>
      </c>
      <c r="D10" s="34">
        <f>C10-(Assumptions!C16+Assumptions!C20)</f>
        <v>9068750</v>
      </c>
      <c r="E10" s="15"/>
      <c r="F10" s="43"/>
    </row>
    <row r="11" spans="1:7" ht="7.5" customHeight="1" x14ac:dyDescent="0.3"/>
    <row r="12" spans="1:7" ht="18" customHeight="1" x14ac:dyDescent="0.3">
      <c r="A12" s="2" t="s">
        <v>181</v>
      </c>
      <c r="B12" s="2"/>
      <c r="C12" s="2"/>
      <c r="D12" s="2"/>
      <c r="E12" s="2"/>
      <c r="F12" s="2"/>
      <c r="G12" s="2"/>
    </row>
    <row r="13" spans="1:7" ht="23.25" customHeight="1" x14ac:dyDescent="0.3">
      <c r="A13" s="9" t="s">
        <v>171</v>
      </c>
      <c r="B13" s="9" t="s">
        <v>182</v>
      </c>
      <c r="C13" s="9" t="s">
        <v>183</v>
      </c>
      <c r="D13" s="9" t="s">
        <v>184</v>
      </c>
      <c r="E13" s="9" t="s">
        <v>79</v>
      </c>
      <c r="F13" s="49"/>
    </row>
    <row r="14" spans="1:7" ht="19.5" customHeight="1" x14ac:dyDescent="0.3">
      <c r="A14" s="15" t="s">
        <v>185</v>
      </c>
      <c r="B14" s="34">
        <f>Assumptions!C16*0.8</f>
        <v>480000</v>
      </c>
      <c r="C14" s="34">
        <f>Assumptions!C5*(Assumptions!C7-Assumptions!C8)+Assumptions!C5*Assumptions!C10*Assumptions!C11*Assumptions!C9+Assumptions!C22*Assumptions!C23+(Assumptions!C6-Assumptions!C5)*(Assumptions!C12-Assumptions!C13)/(1-Assumptions!C12)*Assumptions!C14*Assumptions!C15-(Assumptions!C16*0.8)-Assumptions!C20</f>
        <v>2592399.3288590605</v>
      </c>
      <c r="D14" s="56">
        <f>-(Assumptions!C17+Assumptions!C18+Assumptions!C19)/(C14)*12</f>
        <v>-5.3232539626036353</v>
      </c>
      <c r="E14" s="15"/>
      <c r="F14" s="43"/>
    </row>
    <row r="15" spans="1:7" ht="19.5" customHeight="1" x14ac:dyDescent="0.3">
      <c r="A15" s="51" t="s">
        <v>177</v>
      </c>
      <c r="B15" s="53">
        <f>Assumptions!C16</f>
        <v>600000</v>
      </c>
      <c r="C15" s="53">
        <f>Assumptions!C5*(Assumptions!C7-Assumptions!C8)+Assumptions!C5*Assumptions!C10*Assumptions!C11*Assumptions!C9+Assumptions!C22*Assumptions!C23+(Assumptions!C6-Assumptions!C5)*(Assumptions!C12-Assumptions!C13)/(1-Assumptions!C12)*Assumptions!C14*Assumptions!C15-(Assumptions!C16*1)-Assumptions!C20</f>
        <v>2472399.3288590605</v>
      </c>
      <c r="D15" s="57">
        <f>-(Assumptions!C17+Assumptions!C18+Assumptions!C19)/(C15)*12</f>
        <v>-5.5816226120593129</v>
      </c>
      <c r="E15" s="54" t="s">
        <v>178</v>
      </c>
      <c r="F15" s="55"/>
    </row>
    <row r="16" spans="1:7" ht="19.5" customHeight="1" x14ac:dyDescent="0.3">
      <c r="A16" s="15" t="s">
        <v>186</v>
      </c>
      <c r="B16" s="34">
        <f>Assumptions!C16*1.2</f>
        <v>720000</v>
      </c>
      <c r="C16" s="34">
        <f>Assumptions!C5*(Assumptions!C7-Assumptions!C8)+Assumptions!C5*Assumptions!C10*Assumptions!C11*Assumptions!C9+Assumptions!C22*Assumptions!C23+(Assumptions!C6-Assumptions!C5)*(Assumptions!C12-Assumptions!C13)/(1-Assumptions!C12)*Assumptions!C14*Assumptions!C15-(Assumptions!C16*1.2)-Assumptions!C20</f>
        <v>2352399.3288590605</v>
      </c>
      <c r="D16" s="56">
        <f>-(Assumptions!C17+Assumptions!C18+Assumptions!C19)/(C16)*12</f>
        <v>-5.8663509340028384</v>
      </c>
      <c r="E16" s="15"/>
      <c r="F16" s="43"/>
    </row>
    <row r="17" spans="1:7" ht="19.5" customHeight="1" x14ac:dyDescent="0.3">
      <c r="A17" s="11" t="s">
        <v>187</v>
      </c>
      <c r="B17" s="35">
        <f>Assumptions!C16*1.4</f>
        <v>840000</v>
      </c>
      <c r="C17" s="35">
        <f>Assumptions!C5*(Assumptions!C7-Assumptions!C8)+Assumptions!C5*Assumptions!C10*Assumptions!C11*Assumptions!C9+Assumptions!C22*Assumptions!C23+(Assumptions!C6-Assumptions!C5)*(Assumptions!C12-Assumptions!C13)/(1-Assumptions!C12)*Assumptions!C14*Assumptions!C15-(Assumptions!C16*1.4)-Assumptions!C20</f>
        <v>2232399.3288590605</v>
      </c>
      <c r="D17" s="58">
        <f>-(Assumptions!C17+Assumptions!C18+Assumptions!C19)/(C17)*12</f>
        <v>-6.1816897279990375</v>
      </c>
      <c r="E17" s="11"/>
      <c r="F17" s="45"/>
    </row>
    <row r="18" spans="1:7" ht="7.5" customHeight="1" x14ac:dyDescent="0.3"/>
    <row r="19" spans="1:7" ht="36" customHeight="1" x14ac:dyDescent="0.3">
      <c r="A19" s="1" t="s">
        <v>188</v>
      </c>
      <c r="B19" s="1"/>
      <c r="C19" s="1"/>
      <c r="D19" s="1"/>
      <c r="E19" s="1"/>
      <c r="F19" s="1"/>
      <c r="G19" s="1"/>
    </row>
  </sheetData>
  <mergeCells count="5">
    <mergeCell ref="A1:G1"/>
    <mergeCell ref="A2:G2"/>
    <mergeCell ref="A4:G4"/>
    <mergeCell ref="A12:G12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Current State</vt:lpstr>
      <vt:lpstr>Options Comparison</vt:lpstr>
      <vt:lpstr>Cost-Benefit Model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Namrata Modha</cp:lastModifiedBy>
  <cp:revision>0</cp:revision>
  <dcterms:created xsi:type="dcterms:W3CDTF">2026-05-15T18:57:12Z</dcterms:created>
  <dcterms:modified xsi:type="dcterms:W3CDTF">2026-05-15T19:10:58Z</dcterms:modified>
  <dc:language>en-US</dc:language>
</cp:coreProperties>
</file>